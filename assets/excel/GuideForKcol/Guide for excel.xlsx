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bd\sdppmo\homepage\assets\excel\GuideForKcol\"/>
    </mc:Choice>
  </mc:AlternateContent>
  <bookViews>
    <workbookView xWindow="0" yWindow="0" windowWidth="20445" windowHeight="63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3" i="1" l="1"/>
  <c r="E34" i="1" s="1"/>
  <c r="E32" i="1"/>
  <c r="E20" i="1"/>
  <c r="E21" i="1" s="1"/>
  <c r="E22" i="1" s="1"/>
  <c r="E23" i="1" s="1"/>
  <c r="E24" i="1" s="1"/>
  <c r="E25" i="1" s="1"/>
</calcChain>
</file>

<file path=xl/sharedStrings.xml><?xml version="1.0" encoding="utf-8"?>
<sst xmlns="http://schemas.openxmlformats.org/spreadsheetml/2006/main" count="132" uniqueCount="43">
  <si>
    <t>SM275</t>
    <phoneticPr fontId="1" type="noConversion"/>
  </si>
  <si>
    <t>Pu(kN)</t>
    <phoneticPr fontId="1" type="noConversion"/>
  </si>
  <si>
    <t>K=0.8, Lx=Ly=4.5m</t>
    <phoneticPr fontId="1" type="noConversion"/>
  </si>
  <si>
    <t>SM355</t>
    <phoneticPr fontId="1" type="noConversion"/>
  </si>
  <si>
    <t>Rolled
H-Beam</t>
    <phoneticPr fontId="1" type="noConversion"/>
  </si>
  <si>
    <t>BH-Beam</t>
    <phoneticPr fontId="1" type="noConversion"/>
  </si>
  <si>
    <t>131.56kg/m</t>
    <phoneticPr fontId="1" type="noConversion"/>
  </si>
  <si>
    <t>151.28kg/m</t>
    <phoneticPr fontId="1" type="noConversion"/>
  </si>
  <si>
    <t>178.56kg/m</t>
    <phoneticPr fontId="1" type="noConversion"/>
  </si>
  <si>
    <t>205.18kg/m</t>
    <phoneticPr fontId="1" type="noConversion"/>
  </si>
  <si>
    <t>2H-506x200x11x19</t>
    <phoneticPr fontId="1" type="noConversion"/>
  </si>
  <si>
    <t>2H-450x200x9x14</t>
    <phoneticPr fontId="1" type="noConversion"/>
  </si>
  <si>
    <t>2H-400x200x8x13</t>
    <phoneticPr fontId="1" type="noConversion"/>
  </si>
  <si>
    <t>157.47kg/m</t>
    <phoneticPr fontId="1" type="noConversion"/>
  </si>
  <si>
    <t>2H-500x200x10x16</t>
    <phoneticPr fontId="1" type="noConversion"/>
  </si>
  <si>
    <t>SM420</t>
    <phoneticPr fontId="1" type="noConversion"/>
  </si>
  <si>
    <t>2H-600x200x11x17</t>
    <phoneticPr fontId="1" type="noConversion"/>
  </si>
  <si>
    <t>210.08kg/m</t>
    <phoneticPr fontId="1" type="noConversion"/>
  </si>
  <si>
    <t>2H-500x300x11x11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</si>
  <si>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</si>
  <si>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</si>
  <si>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</si>
  <si>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2H-500x300x15x15</t>
    <phoneticPr fontId="1" type="noConversion"/>
  </si>
  <si>
    <t>2H-500x300x9x9</t>
    <phoneticPr fontId="1" type="noConversion"/>
  </si>
  <si>
    <t>2H-500x300x10x10</t>
    <phoneticPr fontId="1" type="noConversion"/>
  </si>
  <si>
    <t>173.14kg/m</t>
    <phoneticPr fontId="1" type="noConversion"/>
  </si>
  <si>
    <t>-</t>
    <phoneticPr fontId="1" type="noConversion"/>
  </si>
  <si>
    <t>2H-500x300x12x12</t>
    <phoneticPr fontId="1" type="noConversion"/>
  </si>
  <si>
    <t>2H-500x300x13x13</t>
    <phoneticPr fontId="1" type="noConversion"/>
  </si>
  <si>
    <t>189.59kg/m</t>
    <phoneticPr fontId="1" type="noConversion"/>
  </si>
  <si>
    <t>205.95kg/m</t>
    <phoneticPr fontId="1" type="noConversion"/>
  </si>
  <si>
    <t>222.24kg/m</t>
    <phoneticPr fontId="1" type="noConversion"/>
  </si>
  <si>
    <t>2H-500x300x15x18</t>
    <phoneticPr fontId="1" type="noConversion"/>
  </si>
  <si>
    <t>2H-500x300x15x21</t>
    <phoneticPr fontId="1" type="noConversion"/>
  </si>
  <si>
    <t>2H-500x300x15x24</t>
    <phoneticPr fontId="1" type="noConversion"/>
  </si>
  <si>
    <t>2H-500x300x15x27</t>
    <phoneticPr fontId="1" type="noConversion"/>
  </si>
  <si>
    <t>SM420</t>
    <phoneticPr fontId="1" type="noConversion"/>
  </si>
  <si>
    <t>SM460</t>
    <phoneticPr fontId="1" type="noConversion"/>
  </si>
  <si>
    <t>231.26kg/m</t>
    <phoneticPr fontId="1" type="noConversion"/>
  </si>
  <si>
    <t>281.43kg/m</t>
    <phoneticPr fontId="1" type="noConversion"/>
  </si>
  <si>
    <t>308.28kg/m</t>
    <phoneticPr fontId="1" type="noConversion"/>
  </si>
  <si>
    <t>361.97kg/m</t>
    <phoneticPr fontId="1" type="noConversion"/>
  </si>
  <si>
    <t>335.13kg/m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</si>
</sst>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O34"/>
  <sheetViews>
    <sheetView tabSelected="1" topLeftCell="A2" zoomScale="115" zoomScaleNormal="115" workbookViewId="0">
      <selection activeCell="J11" sqref="J11"/>
    </sheetView>
  </sheetViews>
  <sheetFormatPr defaultRowHeight="16.5" x14ac:dyDescent="0.3"/>
  <cols>
    <col min="3" max="4" width="9" style="1"/>
    <col min="5" max="5" width="9" style="2"/>
    <col min="6" max="11" width="9.875" style="2" customWidth="1"/>
    <col min="12" max="12" width="9.875" style="1" customWidth="1"/>
    <col min="13" max="13" width="9.875" customWidth="1"/>
    <col min="14" max="14" width="9.875" style="1" customWidth="1"/>
    <col min="15" max="15" width="9.875" customWidth="1"/>
  </cols>
  <sheetData>
    <row r="4" spans="3:15" x14ac:dyDescent="0.3">
      <c r="E4" s="5" t="s">
        <v>2</v>
      </c>
    </row>
    <row r="5" spans="3:15" x14ac:dyDescent="0.3">
      <c r="C5"/>
      <c r="D5"/>
    </row>
    <row r="6" spans="3:15" ht="49.5" customHeight="1" x14ac:dyDescent="0.3">
      <c r="C6"/>
      <c r="D6"/>
      <c r="E6" s="12" t="s">
        <v>4</v>
      </c>
      <c r="F6" s="14" t="s">
        <v>12</v>
      </c>
      <c r="G6" s="15"/>
      <c r="H6" s="14" t="s">
        <v>11</v>
      </c>
      <c r="I6" s="15"/>
      <c r="J6" s="14" t="s">
        <v>14</v>
      </c>
      <c r="K6" s="15"/>
      <c r="L6" s="14" t="s">
        <v>10</v>
      </c>
      <c r="M6" s="15"/>
      <c r="N6" s="14" t="s">
        <v>16</v>
      </c>
      <c r="O6" s="15"/>
    </row>
    <row r="7" spans="3:15" x14ac:dyDescent="0.3">
      <c r="C7"/>
      <c r="D7"/>
      <c r="E7" s="13"/>
      <c r="F7" s="10" t="s">
        <v>6</v>
      </c>
      <c r="G7" s="11"/>
      <c r="H7" s="10" t="s">
        <v>7</v>
      </c>
      <c r="I7" s="11"/>
      <c r="J7" s="10" t="s">
        <v>8</v>
      </c>
      <c r="K7" s="11"/>
      <c r="L7" s="10" t="s">
        <v>9</v>
      </c>
      <c r="M7" s="16"/>
      <c r="N7" s="10" t="s">
        <v>17</v>
      </c>
      <c r="O7" s="16"/>
    </row>
    <row r="8" spans="3:15" x14ac:dyDescent="0.3">
      <c r="C8"/>
      <c r="D8"/>
      <c r="E8" s="7" t="s">
        <v>1</v>
      </c>
      <c r="F8" s="14" t="s">
        <v>0</v>
      </c>
      <c r="G8" s="15"/>
      <c r="H8" s="3" t="s">
        <v>0</v>
      </c>
      <c r="I8" s="3"/>
      <c r="J8" s="3" t="s">
        <v>0</v>
      </c>
      <c r="K8" s="3" t="s">
        <v>3</v>
      </c>
      <c r="L8" s="3" t="s">
        <v>0</v>
      </c>
      <c r="M8" s="3" t="s">
        <v>3</v>
      </c>
      <c r="N8" s="3" t="s">
        <v>0</v>
      </c>
      <c r="O8" s="3" t="s">
        <v>3</v>
      </c>
    </row>
    <row r="9" spans="3:15" x14ac:dyDescent="0.3">
      <c r="C9"/>
      <c r="D9"/>
      <c r="E9" s="4">
        <v>3000</v>
      </c>
      <c r="F9" s="4">
        <v>0.75900000000000001</v>
      </c>
      <c r="G9" s="4" t="s">
        <v>19</v>
      </c>
      <c r="H9" s="4" t="s">
        <v>19</v>
      </c>
      <c r="I9" s="4" t="s">
        <v>19</v>
      </c>
      <c r="J9" s="4" t="s">
        <v>19</v>
      </c>
      <c r="K9" s="4" t="s">
        <v>19</v>
      </c>
      <c r="L9" s="4" t="s">
        <v>19</v>
      </c>
      <c r="M9" s="4" t="s">
        <v>19</v>
      </c>
      <c r="N9" s="4" t="s">
        <v>19</v>
      </c>
      <c r="O9" s="4" t="s">
        <v>19</v>
      </c>
    </row>
    <row r="10" spans="3:15" x14ac:dyDescent="0.3">
      <c r="C10"/>
      <c r="D10"/>
      <c r="E10" s="4">
        <v>4000</v>
      </c>
      <c r="F10" s="4" t="s">
        <v>19</v>
      </c>
      <c r="G10" s="4" t="s">
        <v>19</v>
      </c>
      <c r="H10" s="4">
        <v>0.873</v>
      </c>
      <c r="I10" s="4" t="s">
        <v>19</v>
      </c>
      <c r="J10" s="4">
        <v>0.73499999999999999</v>
      </c>
      <c r="K10" s="4" t="s">
        <v>19</v>
      </c>
      <c r="L10" s="4" t="s">
        <v>19</v>
      </c>
      <c r="M10" s="4" t="s">
        <v>19</v>
      </c>
      <c r="N10" s="4" t="s">
        <v>19</v>
      </c>
      <c r="O10" s="4" t="s">
        <v>19</v>
      </c>
    </row>
    <row r="11" spans="3:15" x14ac:dyDescent="0.3">
      <c r="C11"/>
      <c r="D11"/>
      <c r="E11" s="4">
        <v>5000</v>
      </c>
      <c r="F11" s="4" t="s">
        <v>19</v>
      </c>
      <c r="G11" s="4" t="s">
        <v>19</v>
      </c>
      <c r="H11" s="4" t="s">
        <v>19</v>
      </c>
      <c r="I11" s="4" t="s">
        <v>19</v>
      </c>
      <c r="J11" s="9">
        <v>0.91900000000000004</v>
      </c>
      <c r="K11" s="4" t="s">
        <v>19</v>
      </c>
      <c r="L11" s="4">
        <v>0.79900000000000004</v>
      </c>
      <c r="M11" s="4" t="s">
        <v>19</v>
      </c>
      <c r="N11" s="4">
        <v>0.77400000000000002</v>
      </c>
      <c r="O11" s="4" t="s">
        <v>19</v>
      </c>
    </row>
    <row r="12" spans="3:15" x14ac:dyDescent="0.3">
      <c r="C12"/>
      <c r="D12"/>
      <c r="E12" s="4">
        <v>6000</v>
      </c>
      <c r="F12" s="4" t="s">
        <v>19</v>
      </c>
      <c r="G12" s="4" t="s">
        <v>19</v>
      </c>
      <c r="H12" s="4" t="s">
        <v>19</v>
      </c>
      <c r="I12" s="4" t="s">
        <v>19</v>
      </c>
      <c r="J12" s="4" t="s">
        <v>19</v>
      </c>
      <c r="K12" s="4">
        <v>0.86099999999999999</v>
      </c>
      <c r="L12" s="4">
        <v>0.95799999999999996</v>
      </c>
      <c r="M12" s="4" t="s">
        <v>19</v>
      </c>
      <c r="N12" s="9">
        <v>0.92900000000000005</v>
      </c>
      <c r="O12" s="4" t="s">
        <v>19</v>
      </c>
    </row>
    <row r="13" spans="3:15" x14ac:dyDescent="0.3">
      <c r="C13"/>
      <c r="D13"/>
      <c r="E13" s="4">
        <v>7000</v>
      </c>
      <c r="F13" s="4" t="s">
        <v>19</v>
      </c>
      <c r="G13" s="4" t="s">
        <v>19</v>
      </c>
      <c r="H13" s="4" t="s">
        <v>19</v>
      </c>
      <c r="I13" s="4" t="s">
        <v>19</v>
      </c>
      <c r="J13" s="4" t="s">
        <v>19</v>
      </c>
      <c r="K13" s="4" t="s">
        <v>19</v>
      </c>
      <c r="L13" s="4" t="s">
        <v>19</v>
      </c>
      <c r="M13" s="9">
        <v>0.93899999999999995</v>
      </c>
      <c r="N13" s="4" t="s">
        <v>19</v>
      </c>
      <c r="O13" s="4">
        <v>0.84599999999999997</v>
      </c>
    </row>
    <row r="14" spans="3:15" x14ac:dyDescent="0.3">
      <c r="C14"/>
      <c r="D14"/>
      <c r="E14"/>
      <c r="F14"/>
      <c r="G14"/>
      <c r="H14"/>
      <c r="I14"/>
      <c r="J14"/>
      <c r="K14"/>
      <c r="L14"/>
      <c r="N14"/>
    </row>
    <row r="16" spans="3:15" ht="39.75" customHeight="1" x14ac:dyDescent="0.3">
      <c r="E16" s="12" t="s">
        <v>5</v>
      </c>
      <c r="F16" s="14" t="s">
        <v>23</v>
      </c>
      <c r="G16" s="15"/>
      <c r="H16" s="14" t="s">
        <v>24</v>
      </c>
      <c r="I16" s="15"/>
      <c r="J16" s="14" t="s">
        <v>18</v>
      </c>
      <c r="K16" s="15"/>
      <c r="L16" s="14" t="s">
        <v>27</v>
      </c>
      <c r="M16" s="15"/>
      <c r="N16" s="14" t="s">
        <v>28</v>
      </c>
      <c r="O16" s="15"/>
    </row>
    <row r="17" spans="5:15" x14ac:dyDescent="0.3">
      <c r="E17" s="13"/>
      <c r="F17" s="10" t="s">
        <v>13</v>
      </c>
      <c r="G17" s="11"/>
      <c r="H17" s="10" t="s">
        <v>25</v>
      </c>
      <c r="I17" s="11"/>
      <c r="J17" s="10" t="s">
        <v>29</v>
      </c>
      <c r="K17" s="11"/>
      <c r="L17" s="10" t="s">
        <v>30</v>
      </c>
      <c r="M17" s="11"/>
      <c r="N17" s="10" t="s">
        <v>31</v>
      </c>
      <c r="O17" s="11"/>
    </row>
    <row r="18" spans="5:15" x14ac:dyDescent="0.3">
      <c r="E18" s="7" t="s">
        <v>1</v>
      </c>
      <c r="F18" s="3" t="s">
        <v>0</v>
      </c>
      <c r="G18" s="3" t="s">
        <v>3</v>
      </c>
      <c r="H18" s="3" t="s">
        <v>3</v>
      </c>
      <c r="I18" s="3" t="s">
        <v>15</v>
      </c>
      <c r="J18" s="3" t="s">
        <v>3</v>
      </c>
      <c r="K18" s="3" t="s">
        <v>15</v>
      </c>
      <c r="L18" s="3" t="s">
        <v>3</v>
      </c>
      <c r="M18" s="3" t="s">
        <v>15</v>
      </c>
      <c r="N18" s="3" t="s">
        <v>3</v>
      </c>
      <c r="O18" s="3" t="s">
        <v>15</v>
      </c>
    </row>
    <row r="19" spans="5:15" x14ac:dyDescent="0.3">
      <c r="E19" s="4">
        <v>4000</v>
      </c>
      <c r="F19" s="4">
        <v>0.83599999999999997</v>
      </c>
      <c r="G19" s="4">
        <v>0.65400000000000003</v>
      </c>
      <c r="H19" s="4"/>
      <c r="J19" s="4"/>
      <c r="K19" s="6"/>
      <c r="L19" s="4"/>
      <c r="M19" s="6"/>
      <c r="N19" s="4"/>
      <c r="O19" s="6"/>
    </row>
    <row r="20" spans="5:15" x14ac:dyDescent="0.3">
      <c r="E20" s="4">
        <f t="shared" ref="E20:E25" si="0">E19+1000</f>
        <v>5000</v>
      </c>
      <c r="F20" s="9">
        <v>0.94399999999999995</v>
      </c>
      <c r="G20" s="4">
        <v>0.81699999999999995</v>
      </c>
      <c r="H20" s="4">
        <v>0.73899999999999999</v>
      </c>
      <c r="I20" s="4"/>
      <c r="J20" s="4"/>
      <c r="K20" s="6"/>
      <c r="L20" s="4"/>
      <c r="M20" s="6"/>
      <c r="N20" s="4"/>
      <c r="O20" s="6"/>
    </row>
    <row r="21" spans="5:15" x14ac:dyDescent="0.3">
      <c r="E21" s="4">
        <f t="shared" si="0"/>
        <v>6000</v>
      </c>
      <c r="F21" s="4" t="s">
        <v>19</v>
      </c>
      <c r="G21" s="9">
        <v>0.98099999999999998</v>
      </c>
      <c r="H21" s="4">
        <v>0.88700000000000001</v>
      </c>
      <c r="I21" s="4">
        <v>0.75600000000000001</v>
      </c>
      <c r="J21" s="4">
        <v>0.81</v>
      </c>
      <c r="K21" s="4"/>
      <c r="L21" s="4">
        <v>0.746</v>
      </c>
      <c r="M21" s="4"/>
      <c r="N21" s="4">
        <v>0.69099999999999995</v>
      </c>
      <c r="O21" s="6"/>
    </row>
    <row r="22" spans="5:15" x14ac:dyDescent="0.3">
      <c r="E22" s="4">
        <f t="shared" si="0"/>
        <v>7000</v>
      </c>
      <c r="F22" s="4" t="s">
        <v>19</v>
      </c>
      <c r="G22" s="4" t="s">
        <v>19</v>
      </c>
      <c r="H22" s="8" t="s">
        <v>26</v>
      </c>
      <c r="I22" s="9">
        <v>0.88200000000000001</v>
      </c>
      <c r="J22" s="9">
        <v>0.95399999999999996</v>
      </c>
      <c r="K22" s="4">
        <v>0.69</v>
      </c>
      <c r="L22" s="4">
        <v>0.87</v>
      </c>
      <c r="M22" s="4">
        <v>0.74099999999999999</v>
      </c>
      <c r="N22" s="4">
        <v>0.80700000000000005</v>
      </c>
      <c r="O22" s="4">
        <v>0.68700000000000006</v>
      </c>
    </row>
    <row r="23" spans="5:15" x14ac:dyDescent="0.3">
      <c r="E23" s="4">
        <f t="shared" si="0"/>
        <v>8000</v>
      </c>
      <c r="F23" s="4" t="s">
        <v>19</v>
      </c>
      <c r="G23" s="4" t="s">
        <v>19</v>
      </c>
      <c r="H23" s="4" t="s">
        <v>19</v>
      </c>
      <c r="I23" s="4" t="s">
        <v>21</v>
      </c>
      <c r="J23" s="4" t="s">
        <v>21</v>
      </c>
      <c r="K23" s="4">
        <v>0.80500000000000005</v>
      </c>
      <c r="L23" s="9">
        <v>0.995</v>
      </c>
      <c r="M23" s="4">
        <v>0.84699999999999998</v>
      </c>
      <c r="N23" s="8">
        <v>0.92200000000000004</v>
      </c>
      <c r="O23" s="4">
        <v>0.78500000000000003</v>
      </c>
    </row>
    <row r="24" spans="5:15" x14ac:dyDescent="0.3">
      <c r="E24" s="4">
        <f t="shared" si="0"/>
        <v>9000</v>
      </c>
      <c r="F24" s="4" t="s">
        <v>20</v>
      </c>
      <c r="G24" s="4" t="s">
        <v>20</v>
      </c>
      <c r="H24" s="4" t="s">
        <v>20</v>
      </c>
      <c r="I24" s="4" t="s">
        <v>21</v>
      </c>
      <c r="J24" s="4" t="s">
        <v>21</v>
      </c>
      <c r="K24" s="9">
        <v>0.92</v>
      </c>
      <c r="L24" s="4" t="s">
        <v>21</v>
      </c>
      <c r="M24" s="9">
        <v>0.95299999999999996</v>
      </c>
      <c r="N24" s="4" t="s">
        <v>21</v>
      </c>
      <c r="O24" s="4">
        <v>0.88300000000000001</v>
      </c>
    </row>
    <row r="25" spans="5:15" x14ac:dyDescent="0.3">
      <c r="E25" s="4">
        <f t="shared" si="0"/>
        <v>10000</v>
      </c>
      <c r="F25" s="4" t="s">
        <v>20</v>
      </c>
      <c r="G25" s="4" t="s">
        <v>20</v>
      </c>
      <c r="H25" s="4" t="s">
        <v>20</v>
      </c>
      <c r="I25" s="4" t="s">
        <v>19</v>
      </c>
      <c r="J25" s="4" t="s">
        <v>21</v>
      </c>
      <c r="K25" s="4" t="s">
        <v>21</v>
      </c>
      <c r="L25" s="4" t="s">
        <v>21</v>
      </c>
      <c r="M25" s="4" t="s">
        <v>21</v>
      </c>
      <c r="N25" s="4" t="s">
        <v>21</v>
      </c>
      <c r="O25" s="9">
        <v>0.98099999999999998</v>
      </c>
    </row>
    <row r="28" spans="5:15" ht="16.5" customHeight="1" x14ac:dyDescent="0.3">
      <c r="E28" s="12" t="s">
        <v>5</v>
      </c>
      <c r="F28" s="14" t="s">
        <v>22</v>
      </c>
      <c r="G28" s="15"/>
      <c r="H28" s="14" t="s">
        <v>32</v>
      </c>
      <c r="I28" s="15"/>
      <c r="J28" s="14" t="s">
        <v>33</v>
      </c>
      <c r="K28" s="15"/>
      <c r="L28" s="14" t="s">
        <v>34</v>
      </c>
      <c r="M28" s="15"/>
      <c r="N28" s="14" t="s">
        <v>35</v>
      </c>
      <c r="O28" s="15"/>
    </row>
    <row r="29" spans="5:15" x14ac:dyDescent="0.3">
      <c r="E29" s="13"/>
      <c r="F29" s="10" t="s">
        <v>38</v>
      </c>
      <c r="G29" s="11"/>
      <c r="H29" s="10" t="s">
        <v>39</v>
      </c>
      <c r="I29" s="11"/>
      <c r="J29" s="10" t="s">
        <v>40</v>
      </c>
      <c r="K29" s="11"/>
      <c r="L29" s="10" t="s">
        <v>42</v>
      </c>
      <c r="M29" s="11"/>
      <c r="N29" s="10" t="s">
        <v>41</v>
      </c>
      <c r="O29" s="11"/>
    </row>
    <row r="30" spans="5:15" x14ac:dyDescent="0.3">
      <c r="E30" s="7" t="s">
        <v>1</v>
      </c>
      <c r="F30" s="3" t="s">
        <v>36</v>
      </c>
      <c r="G30" s="3" t="s">
        <v>37</v>
      </c>
      <c r="H30" s="3" t="s">
        <v>36</v>
      </c>
      <c r="I30" s="3" t="s">
        <v>37</v>
      </c>
      <c r="J30" s="3" t="s">
        <v>36</v>
      </c>
      <c r="K30" s="3" t="s">
        <v>37</v>
      </c>
      <c r="L30" s="3" t="s">
        <v>36</v>
      </c>
      <c r="M30" s="3" t="s">
        <v>37</v>
      </c>
      <c r="N30" s="3" t="s">
        <v>36</v>
      </c>
      <c r="O30" s="3" t="s">
        <v>37</v>
      </c>
    </row>
    <row r="31" spans="5:15" x14ac:dyDescent="0.3">
      <c r="E31" s="4">
        <v>10000</v>
      </c>
      <c r="F31" s="4">
        <v>0.90600000000000003</v>
      </c>
      <c r="G31" s="4"/>
      <c r="H31" s="4">
        <v>0.77400000000000002</v>
      </c>
      <c r="I31" s="4"/>
      <c r="J31" s="4">
        <v>0.70499999999999996</v>
      </c>
      <c r="K31" s="4"/>
      <c r="L31" s="4">
        <v>0.64800000000000002</v>
      </c>
      <c r="M31" s="4"/>
      <c r="N31" s="4">
        <v>0.6</v>
      </c>
      <c r="O31" s="4"/>
    </row>
    <row r="32" spans="5:15" x14ac:dyDescent="0.3">
      <c r="E32" s="4">
        <f>E31+2000</f>
        <v>12000</v>
      </c>
      <c r="F32" s="4" t="s">
        <v>19</v>
      </c>
      <c r="G32" s="4"/>
      <c r="H32" s="4">
        <v>0.92800000000000005</v>
      </c>
      <c r="I32" s="4"/>
      <c r="J32" s="4">
        <v>0.84799999999999998</v>
      </c>
      <c r="K32" s="4"/>
      <c r="L32" s="4">
        <v>0.77800000000000002</v>
      </c>
      <c r="M32" s="4"/>
      <c r="N32" s="4">
        <v>0.72</v>
      </c>
      <c r="O32" s="4"/>
    </row>
    <row r="33" spans="5:15" x14ac:dyDescent="0.3">
      <c r="E33" s="4">
        <f>E32+2000</f>
        <v>14000</v>
      </c>
      <c r="F33" s="4" t="s">
        <v>19</v>
      </c>
      <c r="G33" s="8"/>
      <c r="H33" s="4"/>
      <c r="I33" s="8"/>
      <c r="J33" s="4">
        <v>0.98799999999999999</v>
      </c>
      <c r="K33" s="8"/>
      <c r="L33" s="4">
        <v>0.90800000000000003</v>
      </c>
      <c r="M33" s="8"/>
      <c r="N33" s="4">
        <v>0.84</v>
      </c>
      <c r="O33" s="8"/>
    </row>
    <row r="34" spans="5:15" x14ac:dyDescent="0.3">
      <c r="E34" s="4">
        <f>E33+2000</f>
        <v>16000</v>
      </c>
      <c r="F34" s="4" t="s">
        <v>19</v>
      </c>
      <c r="G34" s="4"/>
      <c r="H34" s="8"/>
      <c r="I34" s="4"/>
      <c r="J34" s="8"/>
      <c r="K34" s="4"/>
      <c r="L34" s="4"/>
      <c r="M34" s="4"/>
      <c r="N34" s="4">
        <v>0.96</v>
      </c>
      <c r="O34" s="4"/>
    </row>
  </sheetData>
  <mergeCells count="34">
    <mergeCell ref="F8:G8"/>
    <mergeCell ref="E6:E7"/>
    <mergeCell ref="L6:M6"/>
    <mergeCell ref="L7:M7"/>
    <mergeCell ref="H6:I6"/>
    <mergeCell ref="H7:I7"/>
    <mergeCell ref="F6:G6"/>
    <mergeCell ref="N6:O6"/>
    <mergeCell ref="N7:O7"/>
    <mergeCell ref="F7:G7"/>
    <mergeCell ref="J6:K6"/>
    <mergeCell ref="J7:K7"/>
    <mergeCell ref="L16:M16"/>
    <mergeCell ref="N16:O16"/>
    <mergeCell ref="F17:G17"/>
    <mergeCell ref="H17:I17"/>
    <mergeCell ref="J17:K17"/>
    <mergeCell ref="L17:M17"/>
    <mergeCell ref="L29:M29"/>
    <mergeCell ref="N29:O29"/>
    <mergeCell ref="N17:O17"/>
    <mergeCell ref="E28:E29"/>
    <mergeCell ref="F28:G28"/>
    <mergeCell ref="H28:I28"/>
    <mergeCell ref="J28:K28"/>
    <mergeCell ref="L28:M28"/>
    <mergeCell ref="N28:O28"/>
    <mergeCell ref="F29:G29"/>
    <mergeCell ref="H29:I29"/>
    <mergeCell ref="J29:K29"/>
    <mergeCell ref="E16:E17"/>
    <mergeCell ref="F16:G16"/>
    <mergeCell ref="H16:I16"/>
    <mergeCell ref="J16:K16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sbd</dc:creator>
  <cp:lastModifiedBy>sbd</cp:lastModifiedBy>
  <dcterms:created xsi:type="dcterms:W3CDTF">2026-02-20T03:34:55Z</dcterms:created>
  <dcterms:modified xsi:type="dcterms:W3CDTF">2026-02-20T09:47:24Z</dcterms:modified>
</cp:coreProperties>
</file>